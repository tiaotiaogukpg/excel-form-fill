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xw\OneDrive\文档\"/>
    </mc:Choice>
  </mc:AlternateContent>
  <xr:revisionPtr revIDLastSave="0" documentId="8_{965C989A-7AEC-4106-BAE6-84EC0BF92A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考查科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H7" i="5"/>
  <c r="H8" i="5"/>
  <c r="H51" i="5" l="1"/>
  <c r="H52" i="5" s="1"/>
  <c r="I51" i="5" s="1"/>
  <c r="B51" i="5"/>
  <c r="B52" i="5" s="1"/>
  <c r="C47" i="5"/>
  <c r="A46" i="5"/>
  <c r="P39" i="5"/>
  <c r="H39" i="5"/>
  <c r="P38" i="5"/>
  <c r="H38" i="5"/>
  <c r="P37" i="5"/>
  <c r="H37" i="5"/>
  <c r="P36" i="5"/>
  <c r="H36" i="5"/>
  <c r="P35" i="5"/>
  <c r="H35" i="5"/>
  <c r="P34" i="5"/>
  <c r="H34" i="5"/>
  <c r="P33" i="5"/>
  <c r="H33" i="5"/>
  <c r="P32" i="5"/>
  <c r="H32" i="5"/>
  <c r="P31" i="5"/>
  <c r="H31" i="5"/>
  <c r="P30" i="5"/>
  <c r="H30" i="5"/>
  <c r="P29" i="5"/>
  <c r="H29" i="5"/>
  <c r="P28" i="5"/>
  <c r="H28" i="5"/>
  <c r="P27" i="5"/>
  <c r="H27" i="5"/>
  <c r="P26" i="5"/>
  <c r="H26" i="5"/>
  <c r="P25" i="5"/>
  <c r="H25" i="5"/>
  <c r="P24" i="5"/>
  <c r="H24" i="5"/>
  <c r="P23" i="5"/>
  <c r="H23" i="5"/>
  <c r="P22" i="5"/>
  <c r="H22" i="5"/>
  <c r="P21" i="5"/>
  <c r="H21" i="5"/>
  <c r="P20" i="5"/>
  <c r="H20" i="5"/>
  <c r="P19" i="5"/>
  <c r="H19" i="5"/>
  <c r="P18" i="5"/>
  <c r="H18" i="5"/>
  <c r="P17" i="5"/>
  <c r="H17" i="5"/>
  <c r="P16" i="5"/>
  <c r="H16" i="5"/>
  <c r="P15" i="5"/>
  <c r="H15" i="5"/>
  <c r="P14" i="5"/>
  <c r="H14" i="5"/>
  <c r="P13" i="5"/>
  <c r="H13" i="5"/>
  <c r="P12" i="5"/>
  <c r="H12" i="5"/>
  <c r="P11" i="5"/>
  <c r="H11" i="5"/>
  <c r="P10" i="5"/>
  <c r="H10" i="5"/>
  <c r="P9" i="5"/>
  <c r="H9" i="5"/>
  <c r="P8" i="5"/>
  <c r="P7" i="5"/>
  <c r="P6" i="5"/>
  <c r="D51" i="5" l="1"/>
  <c r="D52" i="5" s="1"/>
  <c r="F51" i="5"/>
  <c r="F52" i="5" s="1"/>
  <c r="B56" i="5"/>
  <c r="B57" i="5" s="1"/>
  <c r="H56" i="5"/>
  <c r="H57" i="5" s="1"/>
  <c r="I56" i="5" s="1"/>
  <c r="D56" i="5" l="1"/>
  <c r="D57" i="5" s="1"/>
  <c r="F56" i="5" l="1"/>
  <c r="F5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zhuangf</author>
  </authors>
  <commentList>
    <comment ref="C5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</t>
        </r>
      </text>
    </comment>
    <comment ref="D5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
</t>
        </r>
      </text>
    </comment>
    <comment ref="E5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
</t>
        </r>
      </text>
    </comment>
    <comment ref="F5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
</t>
        </r>
      </text>
    </comment>
    <comment ref="K5" authorId="0" shapeId="0" xr:uid="{EB1FFD54-B463-43D1-8CE6-F480476F9937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</t>
        </r>
      </text>
    </comment>
    <comment ref="L5" authorId="0" shapeId="0" xr:uid="{95A972E6-D414-4639-8EFC-CBB12FAE7F44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
</t>
        </r>
      </text>
    </comment>
    <comment ref="M5" authorId="0" shapeId="0" xr:uid="{1A548468-CF15-436D-ACB8-436B773129F0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
</t>
        </r>
      </text>
    </comment>
    <comment ref="N5" authorId="0" shapeId="0" xr:uid="{17A6E742-D4FC-4369-8E9F-E787F93DAE59}">
      <text>
        <r>
          <rPr>
            <b/>
            <sz val="9"/>
            <rFont val="宋体"/>
            <family val="3"/>
            <charset val="134"/>
          </rPr>
          <t>zhuangf:</t>
        </r>
        <r>
          <rPr>
            <sz val="9"/>
            <rFont val="宋体"/>
            <family val="3"/>
            <charset val="134"/>
          </rPr>
          <t xml:space="preserve">
各考查科目按课程要求设置占比。
</t>
        </r>
      </text>
    </comment>
  </commentList>
</comments>
</file>

<file path=xl/sharedStrings.xml><?xml version="1.0" encoding="utf-8"?>
<sst xmlns="http://schemas.openxmlformats.org/spreadsheetml/2006/main" count="122" uniqueCount="90">
  <si>
    <t xml:space="preserve">  班级：             </t>
  </si>
  <si>
    <t xml:space="preserve">  任课教师：</t>
  </si>
  <si>
    <t>日期：</t>
  </si>
  <si>
    <t>序  号</t>
  </si>
  <si>
    <t>学生
姓名</t>
  </si>
  <si>
    <t>成     绩</t>
  </si>
  <si>
    <t>作业</t>
  </si>
  <si>
    <t>总评</t>
  </si>
  <si>
    <t xml:space="preserve">  班级：</t>
  </si>
  <si>
    <t>缺考及缺课、缺交作业超1/3的学生名单</t>
  </si>
  <si>
    <t>优秀</t>
  </si>
  <si>
    <t>良好</t>
  </si>
  <si>
    <t>及格</t>
  </si>
  <si>
    <t>不及格</t>
  </si>
  <si>
    <t>及格率</t>
  </si>
  <si>
    <t>缺考：</t>
  </si>
  <si>
    <t>85-100</t>
  </si>
  <si>
    <t>75-84</t>
  </si>
  <si>
    <t>60-74</t>
  </si>
  <si>
    <t>60分以下</t>
  </si>
  <si>
    <t>人数</t>
  </si>
  <si>
    <t>%</t>
  </si>
  <si>
    <t>缺课或缺交作业超1/3：</t>
  </si>
  <si>
    <t>总评成绩统计</t>
  </si>
  <si>
    <t xml:space="preserve">
及格率
</t>
  </si>
  <si>
    <t>教学质量分析：</t>
  </si>
  <si>
    <t xml:space="preserve">    任课教师：</t>
  </si>
  <si>
    <t>教研组长：</t>
  </si>
  <si>
    <t xml:space="preserve">      </t>
  </si>
  <si>
    <t xml:space="preserve"> 教学系部主任：</t>
  </si>
  <si>
    <t>小测</t>
  </si>
  <si>
    <t>考勤</t>
  </si>
  <si>
    <t>说明：</t>
  </si>
  <si>
    <t>考查科目总评成绩由平时表现、作业、测试、考勤等按比例综合情况生成总评成绩。其中，《体育与健康》课程，体质检测成绩在成绩单中单列，占平时成绩的30%。</t>
  </si>
  <si>
    <t>考试成绩统计</t>
  </si>
  <si>
    <t>平时</t>
    <phoneticPr fontId="4" type="noConversion"/>
  </si>
  <si>
    <t>考试</t>
    <phoneticPr fontId="4" type="noConversion"/>
  </si>
  <si>
    <t>本班是升大班，总体情况相对2022级好一些。平时作业任务，三分之一的同学能够积极完成，三分之一的同学被动完成，另外三分之一同学需要反复催促才能完成。随堂考试情况比较好，所有同学均能较好完成。</t>
    <phoneticPr fontId="4" type="noConversion"/>
  </si>
  <si>
    <t>课程：信息技术</t>
    <phoneticPr fontId="4" type="noConversion"/>
  </si>
  <si>
    <t>语文</t>
    <phoneticPr fontId="4" type="noConversion"/>
  </si>
  <si>
    <t>张明</t>
  </si>
  <si>
    <t>王强</t>
  </si>
  <si>
    <t>李华</t>
  </si>
  <si>
    <t>周伟</t>
  </si>
  <si>
    <t>吴刚</t>
  </si>
  <si>
    <t>钱勇</t>
  </si>
  <si>
    <t>林婷</t>
  </si>
  <si>
    <t>徐峰</t>
  </si>
  <si>
    <t>马超</t>
  </si>
  <si>
    <t>韩雪</t>
  </si>
  <si>
    <t>谢军</t>
  </si>
  <si>
    <t>田浩</t>
  </si>
  <si>
    <t>白洁</t>
  </si>
  <si>
    <t>姜涛</t>
  </si>
  <si>
    <t>丁磊</t>
  </si>
  <si>
    <t>石慧</t>
  </si>
  <si>
    <t>秦昊</t>
  </si>
  <si>
    <t>袁帅</t>
  </si>
  <si>
    <t>陆明</t>
  </si>
  <si>
    <t>金鑫</t>
  </si>
  <si>
    <t>夏雨</t>
  </si>
  <si>
    <t>顾佳</t>
  </si>
  <si>
    <t>吕伟</t>
  </si>
  <si>
    <t>沈杰</t>
  </si>
  <si>
    <t>魏晨</t>
  </si>
  <si>
    <t>苏婷</t>
  </si>
  <si>
    <t>潘磊</t>
  </si>
  <si>
    <t>钟华</t>
  </si>
  <si>
    <t>唐敏</t>
  </si>
  <si>
    <t>罗浩</t>
  </si>
  <si>
    <t>许晴</t>
  </si>
  <si>
    <t>江峰</t>
  </si>
  <si>
    <t>何琳</t>
  </si>
  <si>
    <t>冯军</t>
  </si>
  <si>
    <t>李娜</t>
  </si>
  <si>
    <t>刘洋</t>
  </si>
  <si>
    <t>赵磊</t>
  </si>
  <si>
    <t>孙悦</t>
  </si>
  <si>
    <t>郑阳</t>
  </si>
  <si>
    <t>朱琳</t>
  </si>
  <si>
    <t>黄静</t>
  </si>
  <si>
    <t>高翔</t>
  </si>
  <si>
    <t>董健</t>
  </si>
  <si>
    <t>郭鑫</t>
  </si>
  <si>
    <t>宋佳</t>
  </si>
  <si>
    <t>程宇</t>
  </si>
  <si>
    <t>方芳</t>
  </si>
  <si>
    <t>2024学年第一学期《语文》课程成绩报告单及教学质量分析表</t>
    <phoneticPr fontId="4" type="noConversion"/>
  </si>
  <si>
    <t>李老师</t>
    <phoneticPr fontId="4" type="noConversion"/>
  </si>
  <si>
    <t>abc班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</si>
</sst>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;[Red]0"/>
    <numFmt numFmtId="177" formatCode="0.0%"/>
    <numFmt numFmtId="178" formatCode="yyyy\-m\-d"/>
  </numFmts>
  <fonts count="10" x14ac:knownFonts="1">
    <font>
      <sz val="12"/>
      <name val="宋体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sz val="10"/>
      <name val="Arial"/>
      <family val="2"/>
    </font>
    <font>
      <b/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0" borderId="0"/>
  </cellStyleXfs>
  <cellXfs count="94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>
      <alignment horizontal="center" vertical="center"/>
    </xf>
    <xf numFmtId="0" fontId="5" fillId="0" borderId="0" xfId="0" applyFont="1" applyProtection="1">
      <alignment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1" fillId="0" borderId="2" xfId="0" applyFont="1" applyBorder="1">
      <alignment vertical="center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7" fontId="4" fillId="0" borderId="11" xfId="1" applyNumberFormat="1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7" fontId="4" fillId="0" borderId="15" xfId="1" applyNumberFormat="1" applyFont="1" applyBorder="1" applyAlignment="1" applyProtection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Protection="1">
      <alignment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0" xfId="0" applyFont="1">
      <alignment vertical="center"/>
    </xf>
    <xf numFmtId="178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right"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" xfId="0" applyFont="1" applyBorder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" fillId="0" borderId="3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 applyProtection="1">
      <alignment horizontal="left" vertical="center"/>
      <protection locked="0"/>
    </xf>
    <xf numFmtId="0" fontId="1" fillId="0" borderId="31" xfId="0" applyFont="1" applyBorder="1" applyAlignment="1" applyProtection="1">
      <alignment horizontal="left" vertical="center"/>
      <protection locked="0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1" fillId="0" borderId="1" xfId="1" applyNumberFormat="1" applyFont="1" applyBorder="1" applyAlignment="1" applyProtection="1">
      <alignment horizontal="center" vertical="center"/>
    </xf>
    <xf numFmtId="177" fontId="1" fillId="0" borderId="24" xfId="1" applyNumberFormat="1" applyFont="1" applyBorder="1" applyAlignment="1" applyProtection="1">
      <alignment horizontal="center" vertical="center"/>
    </xf>
    <xf numFmtId="177" fontId="1" fillId="0" borderId="11" xfId="1" applyNumberFormat="1" applyFont="1" applyBorder="1" applyAlignment="1" applyProtection="1">
      <alignment horizontal="center" vertical="center"/>
    </xf>
    <xf numFmtId="177" fontId="1" fillId="0" borderId="25" xfId="1" applyNumberFormat="1" applyFont="1" applyBorder="1" applyAlignment="1" applyProtection="1">
      <alignment horizontal="center" vertical="center"/>
    </xf>
    <xf numFmtId="9" fontId="1" fillId="0" borderId="25" xfId="1" applyFont="1" applyBorder="1" applyAlignment="1" applyProtection="1">
      <alignment horizontal="center" vertical="center"/>
    </xf>
    <xf numFmtId="9" fontId="1" fillId="0" borderId="28" xfId="1" applyFont="1" applyBorder="1" applyAlignment="1" applyProtection="1">
      <alignment horizontal="center" vertical="center"/>
    </xf>
    <xf numFmtId="9" fontId="1" fillId="0" borderId="29" xfId="1" applyFont="1" applyBorder="1" applyAlignment="1" applyProtection="1">
      <alignment horizontal="center" vertical="center"/>
    </xf>
    <xf numFmtId="9" fontId="1" fillId="0" borderId="30" xfId="1" applyFont="1" applyBorder="1" applyAlignment="1" applyProtection="1">
      <alignment horizontal="center" vertical="center"/>
    </xf>
    <xf numFmtId="9" fontId="1" fillId="0" borderId="2" xfId="1" applyFont="1" applyBorder="1" applyAlignment="1" applyProtection="1">
      <alignment horizontal="center" vertical="center"/>
    </xf>
    <xf numFmtId="9" fontId="1" fillId="0" borderId="31" xfId="1" applyFont="1" applyBorder="1" applyAlignment="1" applyProtection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>
      <alignment horizontal="left" vertical="center" wrapText="1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5">
    <dxf>
      <font>
        <b val="0"/>
        <color indexed="12"/>
      </font>
    </dxf>
    <dxf>
      <font>
        <b val="0"/>
        <color indexed="10"/>
      </font>
    </dxf>
    <dxf>
      <font>
        <b val="0"/>
        <color indexed="12"/>
      </font>
    </dxf>
    <dxf>
      <font>
        <b val="0"/>
        <color indexed="10"/>
      </font>
    </dxf>
    <dxf>
      <font>
        <b val="0"/>
        <color indexed="12"/>
      </font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8"/>
  <sheetViews>
    <sheetView tabSelected="1" topLeftCell="A67" zoomScaleNormal="100" zoomScaleSheetLayoutView="100" workbookViewId="0">
      <selection activeCell="Q82" sqref="Q82"/>
    </sheetView>
  </sheetViews>
  <sheetFormatPr defaultColWidth="9" defaultRowHeight="13" x14ac:dyDescent="0.25"/>
  <cols>
    <col min="1" max="1" width="3.9140625" style="1" customWidth="1"/>
    <col min="2" max="2" width="7.4140625" style="1" customWidth="1"/>
    <col min="3" max="3" width="5" style="1" customWidth="1"/>
    <col min="4" max="4" width="4.5" style="1" customWidth="1"/>
    <col min="5" max="5" width="4.6640625" style="1" customWidth="1"/>
    <col min="6" max="6" width="5" style="1" customWidth="1"/>
    <col min="7" max="7" width="4.6640625" style="1" customWidth="1"/>
    <col min="8" max="8" width="5.08203125" style="2" customWidth="1"/>
    <col min="9" max="9" width="3.6640625" style="1" customWidth="1"/>
    <col min="10" max="10" width="7.1640625" style="1" customWidth="1"/>
    <col min="11" max="11" width="4.6640625" style="2" customWidth="1"/>
    <col min="12" max="15" width="5" style="2" customWidth="1"/>
    <col min="16" max="16" width="4.6640625" style="2" customWidth="1"/>
    <col min="17" max="16384" width="9" style="1"/>
  </cols>
  <sheetData>
    <row r="1" spans="1:16" ht="27" customHeight="1" x14ac:dyDescent="0.25">
      <c r="A1" s="42" t="s">
        <v>87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20.25" customHeight="1" x14ac:dyDescent="0.25">
      <c r="A2" s="3"/>
      <c r="B2" s="4" t="s">
        <v>0</v>
      </c>
      <c r="C2" s="43" t="s">
        <v>89</v>
      </c>
      <c r="D2" s="43"/>
      <c r="E2" s="43"/>
      <c r="F2" s="43"/>
      <c r="G2" s="44" t="s">
        <v>1</v>
      </c>
      <c r="H2" s="44"/>
      <c r="I2" s="43" t="s">
        <v>88</v>
      </c>
      <c r="J2" s="43"/>
      <c r="K2" s="24"/>
      <c r="L2" s="4" t="s">
        <v>38</v>
      </c>
      <c r="M2" s="45" t="s">
        <v>39</v>
      </c>
      <c r="N2" s="45"/>
      <c r="O2" s="45"/>
      <c r="P2" s="26"/>
    </row>
    <row r="3" spans="1:16" ht="20.25" customHeight="1" x14ac:dyDescent="0.25">
      <c r="A3" s="75" t="s">
        <v>3</v>
      </c>
      <c r="B3" s="75" t="s">
        <v>4</v>
      </c>
      <c r="C3" s="46" t="s">
        <v>5</v>
      </c>
      <c r="D3" s="46"/>
      <c r="E3" s="46"/>
      <c r="F3" s="46"/>
      <c r="G3" s="46"/>
      <c r="H3" s="46"/>
      <c r="I3" s="75" t="s">
        <v>3</v>
      </c>
      <c r="J3" s="75" t="s">
        <v>4</v>
      </c>
      <c r="K3" s="46" t="s">
        <v>5</v>
      </c>
      <c r="L3" s="46"/>
      <c r="M3" s="46"/>
      <c r="N3" s="46"/>
      <c r="O3" s="46"/>
      <c r="P3" s="46"/>
    </row>
    <row r="4" spans="1:16" ht="26.25" customHeight="1" x14ac:dyDescent="0.25">
      <c r="A4" s="75"/>
      <c r="B4" s="75"/>
      <c r="C4" s="6" t="s">
        <v>35</v>
      </c>
      <c r="D4" s="6" t="s">
        <v>6</v>
      </c>
      <c r="E4" s="6" t="s">
        <v>30</v>
      </c>
      <c r="F4" s="6" t="s">
        <v>31</v>
      </c>
      <c r="G4" s="7" t="s">
        <v>36</v>
      </c>
      <c r="H4" s="46" t="s">
        <v>7</v>
      </c>
      <c r="I4" s="75"/>
      <c r="J4" s="75"/>
      <c r="K4" s="6" t="s">
        <v>35</v>
      </c>
      <c r="L4" s="6" t="s">
        <v>6</v>
      </c>
      <c r="M4" s="6" t="s">
        <v>30</v>
      </c>
      <c r="N4" s="6" t="s">
        <v>31</v>
      </c>
      <c r="O4" s="7" t="s">
        <v>36</v>
      </c>
      <c r="P4" s="46" t="s">
        <v>7</v>
      </c>
    </row>
    <row r="5" spans="1:16" ht="13.5" customHeight="1" x14ac:dyDescent="0.25">
      <c r="A5" s="75"/>
      <c r="B5" s="75"/>
      <c r="C5" s="7">
        <v>0.6</v>
      </c>
      <c r="D5" s="7"/>
      <c r="E5" s="7"/>
      <c r="F5" s="7"/>
      <c r="G5" s="7">
        <v>0.4</v>
      </c>
      <c r="H5" s="46"/>
      <c r="I5" s="75"/>
      <c r="J5" s="75"/>
      <c r="K5" s="7">
        <v>0.6</v>
      </c>
      <c r="L5" s="7"/>
      <c r="M5" s="7"/>
      <c r="N5" s="7"/>
      <c r="O5" s="7">
        <v>0.4</v>
      </c>
      <c r="P5" s="46"/>
    </row>
    <row r="6" spans="1:16" ht="17.149999999999999" customHeight="1" x14ac:dyDescent="0.25">
      <c r="A6" s="5">
        <v>1</v>
      </c>
      <c r="B6" t="s">
        <v>40</v>
      </c>
      <c r="C6" s="9">
        <v>54.408602150537632</v>
      </c>
      <c r="D6" s="9"/>
      <c r="E6" s="9"/>
      <c r="F6" s="9"/>
      <c r="G6" s="9">
        <v>73</v>
      </c>
      <c r="H6" s="10">
        <f t="shared" ref="H6:H7" si="0">IF(B6="","",IF(AND(C6="",D6="",E6="",G6="",F6=""),"",ROUND(C6*$C$5+D6*$D$5+E6*$E$5+F6*$F$5+G6*$G$5,0)))</f>
        <v>62</v>
      </c>
      <c r="I6" s="5">
        <v>35</v>
      </c>
      <c r="J6" t="s">
        <v>74</v>
      </c>
      <c r="K6" s="9">
        <v>81.638709677419371</v>
      </c>
      <c r="L6" s="9"/>
      <c r="M6" s="9"/>
      <c r="N6" s="9"/>
      <c r="O6" s="9">
        <v>97</v>
      </c>
      <c r="P6" s="10">
        <f t="shared" ref="P6:P39" si="1">IF(J6="","",IF(AND(K6="",L6="",M6="",O6="",N6=""),"",ROUND(K6*$K$5+L6*$L$5+M6*$M$5+N6*$N$5+O6*$O$5,0)))</f>
        <v>88</v>
      </c>
    </row>
    <row r="7" spans="1:16" ht="17.149999999999999" customHeight="1" x14ac:dyDescent="0.25">
      <c r="A7" s="5">
        <v>2</v>
      </c>
      <c r="B7" t="s">
        <v>41</v>
      </c>
      <c r="C7" s="9">
        <v>52.688172043010752</v>
      </c>
      <c r="D7" s="9"/>
      <c r="E7" s="9"/>
      <c r="F7" s="9"/>
      <c r="G7" s="9">
        <v>94</v>
      </c>
      <c r="H7" s="10">
        <f t="shared" si="0"/>
        <v>69</v>
      </c>
      <c r="I7" s="5">
        <v>36</v>
      </c>
      <c r="J7" t="s">
        <v>75</v>
      </c>
      <c r="K7" s="9">
        <v>71.612903225806448</v>
      </c>
      <c r="L7" s="9"/>
      <c r="M7" s="9"/>
      <c r="N7" s="9"/>
      <c r="O7" s="9">
        <v>90</v>
      </c>
      <c r="P7" s="10">
        <f t="shared" si="1"/>
        <v>79</v>
      </c>
    </row>
    <row r="8" spans="1:16" ht="17.149999999999999" customHeight="1" x14ac:dyDescent="0.25">
      <c r="A8" s="5">
        <v>3</v>
      </c>
      <c r="B8" t="s">
        <v>42</v>
      </c>
      <c r="C8" s="9">
        <v>100</v>
      </c>
      <c r="D8" s="9"/>
      <c r="E8" s="9"/>
      <c r="F8" s="9"/>
      <c r="G8" s="9">
        <v>99</v>
      </c>
      <c r="H8" s="10">
        <f t="shared" ref="H8:H39" si="2">IF(B8="","",IF(AND(C8="",D8="",E8="",G8="",F8=""),"",ROUND(C8*$C$5+D8*$D$5+E8*$E$5+F8*$F$5+G8*$G$5,0)))</f>
        <v>100</v>
      </c>
      <c r="I8" s="5">
        <v>37</v>
      </c>
      <c r="J8" t="s">
        <v>76</v>
      </c>
      <c r="K8" s="9">
        <v>82.567741935483866</v>
      </c>
      <c r="L8" s="9"/>
      <c r="M8" s="9"/>
      <c r="N8" s="9"/>
      <c r="O8" s="9">
        <v>89</v>
      </c>
      <c r="P8" s="10">
        <f t="shared" si="1"/>
        <v>85</v>
      </c>
    </row>
    <row r="9" spans="1:16" ht="17.149999999999999" customHeight="1" x14ac:dyDescent="0.25">
      <c r="A9" s="5">
        <v>4</v>
      </c>
      <c r="B9" t="s">
        <v>43</v>
      </c>
      <c r="C9" s="9">
        <v>80.645161290322577</v>
      </c>
      <c r="D9" s="9"/>
      <c r="E9" s="9"/>
      <c r="F9" s="9"/>
      <c r="G9" s="9">
        <v>95</v>
      </c>
      <c r="H9" s="10">
        <f t="shared" si="2"/>
        <v>86</v>
      </c>
      <c r="I9" s="5">
        <v>38</v>
      </c>
      <c r="J9" t="s">
        <v>77</v>
      </c>
      <c r="K9" s="9">
        <v>68.658064516129031</v>
      </c>
      <c r="L9" s="9"/>
      <c r="M9" s="9"/>
      <c r="N9" s="9"/>
      <c r="O9" s="9">
        <v>91</v>
      </c>
      <c r="P9" s="10">
        <f t="shared" si="1"/>
        <v>78</v>
      </c>
    </row>
    <row r="10" spans="1:16" ht="17.149999999999999" customHeight="1" x14ac:dyDescent="0.25">
      <c r="A10" s="5">
        <v>5</v>
      </c>
      <c r="B10" t="s">
        <v>44</v>
      </c>
      <c r="C10" s="9">
        <v>48.817204301075265</v>
      </c>
      <c r="D10" s="9"/>
      <c r="E10" s="9"/>
      <c r="F10" s="9"/>
      <c r="G10" s="9">
        <v>92</v>
      </c>
      <c r="H10" s="10">
        <f t="shared" si="2"/>
        <v>66</v>
      </c>
      <c r="I10" s="5">
        <v>39</v>
      </c>
      <c r="J10" t="s">
        <v>78</v>
      </c>
      <c r="K10" s="9">
        <v>70.141935483870981</v>
      </c>
      <c r="L10" s="9"/>
      <c r="M10" s="9"/>
      <c r="N10" s="9"/>
      <c r="O10" s="9">
        <v>96</v>
      </c>
      <c r="P10" s="10">
        <f t="shared" si="1"/>
        <v>80</v>
      </c>
    </row>
    <row r="11" spans="1:16" ht="17.149999999999999" customHeight="1" x14ac:dyDescent="0.25">
      <c r="A11" s="5">
        <v>6</v>
      </c>
      <c r="B11" t="s">
        <v>45</v>
      </c>
      <c r="C11" s="9">
        <v>51.397849462365599</v>
      </c>
      <c r="D11" s="9"/>
      <c r="E11" s="9"/>
      <c r="F11" s="9"/>
      <c r="G11" s="9">
        <v>97</v>
      </c>
      <c r="H11" s="10">
        <f t="shared" si="2"/>
        <v>70</v>
      </c>
      <c r="I11" s="5">
        <v>40</v>
      </c>
      <c r="J11" t="s">
        <v>79</v>
      </c>
      <c r="K11" s="9">
        <v>71.896774193548396</v>
      </c>
      <c r="L11" s="9"/>
      <c r="M11" s="9"/>
      <c r="N11" s="9"/>
      <c r="O11" s="9">
        <v>92</v>
      </c>
      <c r="P11" s="10">
        <f t="shared" si="1"/>
        <v>80</v>
      </c>
    </row>
    <row r="12" spans="1:16" ht="17.149999999999999" customHeight="1" x14ac:dyDescent="0.25">
      <c r="A12" s="5">
        <v>7</v>
      </c>
      <c r="B12" t="s">
        <v>46</v>
      </c>
      <c r="C12" s="9">
        <v>56.98924731182796</v>
      </c>
      <c r="D12" s="9"/>
      <c r="E12" s="9"/>
      <c r="F12" s="6"/>
      <c r="G12" s="9">
        <v>97</v>
      </c>
      <c r="H12" s="10">
        <f t="shared" si="2"/>
        <v>73</v>
      </c>
      <c r="I12" s="5">
        <v>41</v>
      </c>
      <c r="J12" t="s">
        <v>80</v>
      </c>
      <c r="K12" s="9">
        <v>71.599999999999994</v>
      </c>
      <c r="L12" s="9"/>
      <c r="M12" s="10"/>
      <c r="N12" s="9"/>
      <c r="O12" s="9">
        <v>89</v>
      </c>
      <c r="P12" s="10">
        <f t="shared" si="1"/>
        <v>79</v>
      </c>
    </row>
    <row r="13" spans="1:16" ht="17.149999999999999" customHeight="1" x14ac:dyDescent="0.25">
      <c r="A13" s="5">
        <v>8</v>
      </c>
      <c r="B13" t="s">
        <v>47</v>
      </c>
      <c r="C13" s="9">
        <v>53.118279569892465</v>
      </c>
      <c r="D13" s="9"/>
      <c r="E13" s="9"/>
      <c r="F13" s="9"/>
      <c r="G13" s="9">
        <v>92</v>
      </c>
      <c r="H13" s="10">
        <f t="shared" si="2"/>
        <v>69</v>
      </c>
      <c r="I13" s="5">
        <v>42</v>
      </c>
      <c r="J13" t="s">
        <v>81</v>
      </c>
      <c r="K13" s="9">
        <v>68.645161290322577</v>
      </c>
      <c r="L13" s="9"/>
      <c r="M13" s="9"/>
      <c r="N13" s="9"/>
      <c r="O13" s="9">
        <v>90</v>
      </c>
      <c r="P13" s="10">
        <f t="shared" si="1"/>
        <v>77</v>
      </c>
    </row>
    <row r="14" spans="1:16" ht="17.149999999999999" customHeight="1" x14ac:dyDescent="0.25">
      <c r="A14" s="5">
        <v>9</v>
      </c>
      <c r="B14" t="s">
        <v>48</v>
      </c>
      <c r="C14" s="9">
        <v>62.365591397849464</v>
      </c>
      <c r="D14" s="9"/>
      <c r="E14" s="9"/>
      <c r="F14" s="9"/>
      <c r="G14" s="9">
        <v>94</v>
      </c>
      <c r="H14" s="10">
        <f t="shared" si="2"/>
        <v>75</v>
      </c>
      <c r="I14" s="5">
        <v>43</v>
      </c>
      <c r="J14" t="s">
        <v>82</v>
      </c>
      <c r="K14" s="9">
        <v>68.851612903225799</v>
      </c>
      <c r="L14" s="9"/>
      <c r="M14" s="9"/>
      <c r="N14" s="9"/>
      <c r="O14" s="9">
        <v>86</v>
      </c>
      <c r="P14" s="10">
        <f t="shared" si="1"/>
        <v>76</v>
      </c>
    </row>
    <row r="15" spans="1:16" ht="17.149999999999999" customHeight="1" x14ac:dyDescent="0.25">
      <c r="A15" s="5">
        <v>10</v>
      </c>
      <c r="B15" t="s">
        <v>49</v>
      </c>
      <c r="C15" s="9">
        <v>83.010752688172033</v>
      </c>
      <c r="D15" s="9"/>
      <c r="E15" s="9"/>
      <c r="F15" s="9"/>
      <c r="G15" s="9">
        <v>97</v>
      </c>
      <c r="H15" s="10">
        <f t="shared" si="2"/>
        <v>89</v>
      </c>
      <c r="I15" s="5">
        <v>44</v>
      </c>
      <c r="J15" t="s">
        <v>83</v>
      </c>
      <c r="K15" s="9">
        <v>87.948387096774198</v>
      </c>
      <c r="L15" s="9"/>
      <c r="M15" s="9"/>
      <c r="N15" s="9"/>
      <c r="O15" s="9">
        <v>96</v>
      </c>
      <c r="P15" s="10">
        <f t="shared" si="1"/>
        <v>91</v>
      </c>
    </row>
    <row r="16" spans="1:16" ht="17.149999999999999" customHeight="1" x14ac:dyDescent="0.25">
      <c r="A16" s="5">
        <v>11</v>
      </c>
      <c r="B16" t="s">
        <v>50</v>
      </c>
      <c r="C16" s="9">
        <v>76.129032258064512</v>
      </c>
      <c r="D16" s="9"/>
      <c r="E16" s="9"/>
      <c r="F16" s="9"/>
      <c r="G16" s="9">
        <v>92</v>
      </c>
      <c r="H16" s="10">
        <f t="shared" si="2"/>
        <v>82</v>
      </c>
      <c r="I16" s="5">
        <v>45</v>
      </c>
      <c r="J16" t="s">
        <v>84</v>
      </c>
      <c r="K16" s="9">
        <v>79.070967741935476</v>
      </c>
      <c r="L16" s="9"/>
      <c r="M16" s="9"/>
      <c r="N16" s="9"/>
      <c r="O16" s="9">
        <v>98</v>
      </c>
      <c r="P16" s="10">
        <f t="shared" si="1"/>
        <v>87</v>
      </c>
    </row>
    <row r="17" spans="1:16" ht="17.149999999999999" customHeight="1" x14ac:dyDescent="0.25">
      <c r="A17" s="5">
        <v>12</v>
      </c>
      <c r="B17" t="s">
        <v>51</v>
      </c>
      <c r="C17" s="9">
        <v>50.537634408602152</v>
      </c>
      <c r="D17" s="9"/>
      <c r="E17" s="9"/>
      <c r="F17" s="9"/>
      <c r="G17" s="9">
        <v>93</v>
      </c>
      <c r="H17" s="10">
        <f t="shared" si="2"/>
        <v>68</v>
      </c>
      <c r="I17" s="5">
        <v>46</v>
      </c>
      <c r="J17" t="s">
        <v>85</v>
      </c>
      <c r="K17" s="9">
        <v>60.812903225806451</v>
      </c>
      <c r="L17" s="9"/>
      <c r="M17" s="9"/>
      <c r="N17" s="9"/>
      <c r="O17" s="9">
        <v>93</v>
      </c>
      <c r="P17" s="10">
        <f t="shared" si="1"/>
        <v>74</v>
      </c>
    </row>
    <row r="18" spans="1:16" ht="17.149999999999999" customHeight="1" x14ac:dyDescent="0.25">
      <c r="A18" s="5">
        <v>13</v>
      </c>
      <c r="B18" t="s">
        <v>52</v>
      </c>
      <c r="C18" s="9">
        <v>73.763440860215056</v>
      </c>
      <c r="D18" s="9"/>
      <c r="E18" s="9"/>
      <c r="F18" s="9"/>
      <c r="G18" s="9">
        <v>99</v>
      </c>
      <c r="H18" s="10">
        <f t="shared" si="2"/>
        <v>84</v>
      </c>
      <c r="I18" s="5">
        <v>47</v>
      </c>
      <c r="J18" t="s">
        <v>86</v>
      </c>
      <c r="K18" s="9">
        <v>96.01290322580644</v>
      </c>
      <c r="L18" s="9"/>
      <c r="M18" s="9"/>
      <c r="N18" s="9"/>
      <c r="O18" s="9">
        <v>91</v>
      </c>
      <c r="P18" s="10">
        <f t="shared" si="1"/>
        <v>94</v>
      </c>
    </row>
    <row r="19" spans="1:16" ht="17.149999999999999" customHeight="1" x14ac:dyDescent="0.25">
      <c r="A19" s="5">
        <v>14</v>
      </c>
      <c r="B19" t="s">
        <v>53</v>
      </c>
      <c r="C19" s="9">
        <v>53.333333333333336</v>
      </c>
      <c r="D19" s="9"/>
      <c r="E19" s="9"/>
      <c r="F19" s="9"/>
      <c r="G19" s="9">
        <v>99</v>
      </c>
      <c r="H19" s="10">
        <f t="shared" si="2"/>
        <v>72</v>
      </c>
      <c r="I19" s="5">
        <v>48</v>
      </c>
      <c r="J19" s="5"/>
      <c r="K19" s="9"/>
      <c r="L19" s="9"/>
      <c r="M19" s="9"/>
      <c r="N19" s="9"/>
      <c r="O19" s="9"/>
      <c r="P19" s="10" t="str">
        <f t="shared" si="1"/>
        <v/>
      </c>
    </row>
    <row r="20" spans="1:16" ht="17.149999999999999" customHeight="1" x14ac:dyDescent="0.25">
      <c r="A20" s="5">
        <v>15</v>
      </c>
      <c r="B20" t="s">
        <v>54</v>
      </c>
      <c r="C20" s="9">
        <v>66.236559139784944</v>
      </c>
      <c r="D20" s="9"/>
      <c r="E20" s="9"/>
      <c r="F20" s="9"/>
      <c r="G20" s="9">
        <v>97</v>
      </c>
      <c r="H20" s="10">
        <f t="shared" si="2"/>
        <v>79</v>
      </c>
      <c r="I20" s="5">
        <v>49</v>
      </c>
      <c r="J20" s="8"/>
      <c r="K20" s="9"/>
      <c r="L20" s="9"/>
      <c r="M20" s="9"/>
      <c r="N20" s="9"/>
      <c r="O20" s="9"/>
      <c r="P20" s="10" t="str">
        <f t="shared" si="1"/>
        <v/>
      </c>
    </row>
    <row r="21" spans="1:16" ht="17.149999999999999" customHeight="1" x14ac:dyDescent="0.25">
      <c r="A21" s="5">
        <v>16</v>
      </c>
      <c r="B21" t="s">
        <v>55</v>
      </c>
      <c r="C21" s="9">
        <v>54.838709677419352</v>
      </c>
      <c r="D21" s="9"/>
      <c r="E21" s="9"/>
      <c r="F21" s="9"/>
      <c r="G21" s="9">
        <v>96</v>
      </c>
      <c r="H21" s="10">
        <f t="shared" si="2"/>
        <v>71</v>
      </c>
      <c r="I21" s="5">
        <v>50</v>
      </c>
      <c r="J21" s="27"/>
      <c r="K21" s="9"/>
      <c r="L21" s="9"/>
      <c r="M21" s="9"/>
      <c r="N21" s="9"/>
      <c r="O21" s="9"/>
      <c r="P21" s="10" t="str">
        <f t="shared" si="1"/>
        <v/>
      </c>
    </row>
    <row r="22" spans="1:16" ht="17.149999999999999" customHeight="1" x14ac:dyDescent="0.25">
      <c r="A22" s="5">
        <v>17</v>
      </c>
      <c r="B22" t="s">
        <v>56</v>
      </c>
      <c r="C22" s="9">
        <v>78.064516129032256</v>
      </c>
      <c r="D22" s="9"/>
      <c r="E22" s="9"/>
      <c r="F22" s="9"/>
      <c r="G22" s="9">
        <v>91</v>
      </c>
      <c r="H22" s="10">
        <f t="shared" si="2"/>
        <v>83</v>
      </c>
      <c r="I22" s="5">
        <v>51</v>
      </c>
      <c r="J22" s="27"/>
      <c r="K22" s="9"/>
      <c r="L22" s="9"/>
      <c r="M22" s="9"/>
      <c r="N22" s="9"/>
      <c r="O22" s="9"/>
      <c r="P22" s="10" t="str">
        <f t="shared" si="1"/>
        <v/>
      </c>
    </row>
    <row r="23" spans="1:16" ht="17.149999999999999" customHeight="1" x14ac:dyDescent="0.25">
      <c r="A23" s="5">
        <v>18</v>
      </c>
      <c r="B23" t="s">
        <v>57</v>
      </c>
      <c r="C23" s="9">
        <v>49.247311827956992</v>
      </c>
      <c r="D23" s="9"/>
      <c r="E23" s="9"/>
      <c r="F23" s="9"/>
      <c r="G23" s="9">
        <v>97</v>
      </c>
      <c r="H23" s="10">
        <f t="shared" si="2"/>
        <v>68</v>
      </c>
      <c r="I23" s="5">
        <v>52</v>
      </c>
      <c r="J23" s="28"/>
      <c r="K23" s="9"/>
      <c r="L23" s="9"/>
      <c r="M23" s="9"/>
      <c r="N23" s="9"/>
      <c r="O23" s="9"/>
      <c r="P23" s="10" t="str">
        <f t="shared" si="1"/>
        <v/>
      </c>
    </row>
    <row r="24" spans="1:16" ht="17.149999999999999" customHeight="1" x14ac:dyDescent="0.25">
      <c r="A24" s="5">
        <v>19</v>
      </c>
      <c r="B24" t="s">
        <v>58</v>
      </c>
      <c r="C24" s="9">
        <v>69.462365591397841</v>
      </c>
      <c r="D24" s="9"/>
      <c r="E24" s="9"/>
      <c r="F24" s="9"/>
      <c r="G24" s="9">
        <v>97</v>
      </c>
      <c r="H24" s="10">
        <f t="shared" si="2"/>
        <v>80</v>
      </c>
      <c r="I24" s="5">
        <v>53</v>
      </c>
      <c r="J24" s="27"/>
      <c r="K24" s="9"/>
      <c r="L24" s="9"/>
      <c r="M24" s="9"/>
      <c r="N24" s="9"/>
      <c r="O24" s="9"/>
      <c r="P24" s="10" t="str">
        <f t="shared" si="1"/>
        <v/>
      </c>
    </row>
    <row r="25" spans="1:16" ht="17.149999999999999" customHeight="1" x14ac:dyDescent="0.25">
      <c r="A25" s="5">
        <v>20</v>
      </c>
      <c r="B25" t="s">
        <v>59</v>
      </c>
      <c r="C25" s="9">
        <v>59.13978494623656</v>
      </c>
      <c r="D25" s="9"/>
      <c r="E25" s="9"/>
      <c r="F25" s="9"/>
      <c r="G25" s="9">
        <v>98</v>
      </c>
      <c r="H25" s="10">
        <f t="shared" si="2"/>
        <v>75</v>
      </c>
      <c r="I25" s="5">
        <v>54</v>
      </c>
      <c r="J25" s="28"/>
      <c r="K25" s="9"/>
      <c r="L25" s="9"/>
      <c r="M25" s="9"/>
      <c r="N25" s="9"/>
      <c r="O25" s="9"/>
      <c r="P25" s="10" t="str">
        <f t="shared" si="1"/>
        <v/>
      </c>
    </row>
    <row r="26" spans="1:16" ht="17.149999999999999" customHeight="1" x14ac:dyDescent="0.25">
      <c r="A26" s="5">
        <v>21</v>
      </c>
      <c r="B26" t="s">
        <v>60</v>
      </c>
      <c r="C26" s="9">
        <v>77.204301075268816</v>
      </c>
      <c r="D26" s="9"/>
      <c r="E26" s="9"/>
      <c r="F26" s="9"/>
      <c r="G26" s="9">
        <v>98</v>
      </c>
      <c r="H26" s="10">
        <f t="shared" si="2"/>
        <v>86</v>
      </c>
      <c r="I26" s="5">
        <v>55</v>
      </c>
      <c r="J26" s="8"/>
      <c r="K26" s="9"/>
      <c r="L26" s="9"/>
      <c r="M26" s="9"/>
      <c r="N26" s="9"/>
      <c r="O26" s="9"/>
      <c r="P26" s="10" t="str">
        <f t="shared" si="1"/>
        <v/>
      </c>
    </row>
    <row r="27" spans="1:16" ht="17.149999999999999" customHeight="1" x14ac:dyDescent="0.25">
      <c r="A27" s="5">
        <v>22</v>
      </c>
      <c r="B27" t="s">
        <v>61</v>
      </c>
      <c r="C27" s="9">
        <v>58.494623655913983</v>
      </c>
      <c r="D27" s="9"/>
      <c r="E27" s="9"/>
      <c r="F27" s="9"/>
      <c r="G27" s="9">
        <v>90</v>
      </c>
      <c r="H27" s="10">
        <f t="shared" si="2"/>
        <v>71</v>
      </c>
      <c r="I27" s="5">
        <v>56</v>
      </c>
      <c r="J27" s="8"/>
      <c r="K27" s="9"/>
      <c r="L27" s="9"/>
      <c r="M27" s="9"/>
      <c r="N27" s="9"/>
      <c r="O27" s="9"/>
      <c r="P27" s="10" t="str">
        <f t="shared" si="1"/>
        <v/>
      </c>
    </row>
    <row r="28" spans="1:16" ht="17.149999999999999" customHeight="1" x14ac:dyDescent="0.25">
      <c r="A28" s="5">
        <v>23</v>
      </c>
      <c r="B28" t="s">
        <v>62</v>
      </c>
      <c r="C28" s="9">
        <v>69.892473118279568</v>
      </c>
      <c r="D28" s="9"/>
      <c r="E28" s="9"/>
      <c r="F28" s="9"/>
      <c r="G28" s="9">
        <v>96</v>
      </c>
      <c r="H28" s="10">
        <f t="shared" si="2"/>
        <v>80</v>
      </c>
      <c r="I28" s="5">
        <v>57</v>
      </c>
      <c r="J28" s="8"/>
      <c r="K28" s="9"/>
      <c r="L28" s="9"/>
      <c r="M28" s="9"/>
      <c r="N28" s="9"/>
      <c r="O28" s="9"/>
      <c r="P28" s="10" t="str">
        <f t="shared" si="1"/>
        <v/>
      </c>
    </row>
    <row r="29" spans="1:16" ht="17.149999999999999" customHeight="1" x14ac:dyDescent="0.25">
      <c r="A29" s="5">
        <v>24</v>
      </c>
      <c r="B29" t="s">
        <v>63</v>
      </c>
      <c r="C29" s="9">
        <v>53.333333333333336</v>
      </c>
      <c r="D29" s="9"/>
      <c r="E29" s="9"/>
      <c r="F29" s="9"/>
      <c r="G29" s="9">
        <v>95</v>
      </c>
      <c r="H29" s="10">
        <f t="shared" si="2"/>
        <v>70</v>
      </c>
      <c r="I29" s="5">
        <v>58</v>
      </c>
      <c r="J29" s="8"/>
      <c r="K29" s="9"/>
      <c r="L29" s="9"/>
      <c r="M29" s="9"/>
      <c r="N29" s="9"/>
      <c r="O29" s="9"/>
      <c r="P29" s="10" t="str">
        <f t="shared" si="1"/>
        <v/>
      </c>
    </row>
    <row r="30" spans="1:16" ht="17.149999999999999" customHeight="1" x14ac:dyDescent="0.25">
      <c r="A30" s="5">
        <v>25</v>
      </c>
      <c r="B30" t="s">
        <v>64</v>
      </c>
      <c r="C30" s="9">
        <v>97.849462365591393</v>
      </c>
      <c r="D30" s="9"/>
      <c r="E30" s="9"/>
      <c r="F30" s="9"/>
      <c r="G30" s="9">
        <v>99</v>
      </c>
      <c r="H30" s="10">
        <f t="shared" si="2"/>
        <v>98</v>
      </c>
      <c r="I30" s="5">
        <v>59</v>
      </c>
      <c r="J30" s="8"/>
      <c r="K30" s="9"/>
      <c r="L30" s="9"/>
      <c r="M30" s="9"/>
      <c r="N30" s="9"/>
      <c r="O30" s="9"/>
      <c r="P30" s="10" t="str">
        <f t="shared" si="1"/>
        <v/>
      </c>
    </row>
    <row r="31" spans="1:16" ht="17.149999999999999" customHeight="1" x14ac:dyDescent="0.25">
      <c r="A31" s="5">
        <v>26</v>
      </c>
      <c r="B31" t="s">
        <v>65</v>
      </c>
      <c r="C31" s="9">
        <v>73.978494623655905</v>
      </c>
      <c r="D31" s="9"/>
      <c r="E31" s="9"/>
      <c r="F31" s="9"/>
      <c r="G31" s="9">
        <v>93</v>
      </c>
      <c r="H31" s="10">
        <f t="shared" si="2"/>
        <v>82</v>
      </c>
      <c r="I31" s="5">
        <v>60</v>
      </c>
      <c r="J31" s="8"/>
      <c r="K31" s="9"/>
      <c r="L31" s="9"/>
      <c r="M31" s="9"/>
      <c r="N31" s="9"/>
      <c r="O31" s="9"/>
      <c r="P31" s="10" t="str">
        <f t="shared" si="1"/>
        <v/>
      </c>
    </row>
    <row r="32" spans="1:16" ht="17.149999999999999" customHeight="1" x14ac:dyDescent="0.25">
      <c r="A32" s="5">
        <v>27</v>
      </c>
      <c r="B32" t="s">
        <v>66</v>
      </c>
      <c r="C32" s="9">
        <v>81.935483870967744</v>
      </c>
      <c r="D32" s="9"/>
      <c r="E32" s="9"/>
      <c r="F32" s="9"/>
      <c r="G32" s="9">
        <v>91</v>
      </c>
      <c r="H32" s="10">
        <f t="shared" si="2"/>
        <v>86</v>
      </c>
      <c r="I32" s="5">
        <v>61</v>
      </c>
      <c r="J32" s="8"/>
      <c r="K32" s="9"/>
      <c r="L32" s="9"/>
      <c r="M32" s="9"/>
      <c r="N32" s="9"/>
      <c r="O32" s="9"/>
      <c r="P32" s="10" t="str">
        <f t="shared" si="1"/>
        <v/>
      </c>
    </row>
    <row r="33" spans="1:16" ht="17.149999999999999" customHeight="1" x14ac:dyDescent="0.25">
      <c r="A33" s="5">
        <v>28</v>
      </c>
      <c r="B33" t="s">
        <v>67</v>
      </c>
      <c r="C33" s="9">
        <v>63.010752688172047</v>
      </c>
      <c r="D33" s="9"/>
      <c r="E33" s="9"/>
      <c r="F33" s="9"/>
      <c r="G33" s="9">
        <v>98</v>
      </c>
      <c r="H33" s="10">
        <f t="shared" si="2"/>
        <v>77</v>
      </c>
      <c r="I33" s="5">
        <v>62</v>
      </c>
      <c r="J33" s="8"/>
      <c r="K33" s="9"/>
      <c r="L33" s="9"/>
      <c r="M33" s="9"/>
      <c r="N33" s="9"/>
      <c r="O33" s="9"/>
      <c r="P33" s="10" t="str">
        <f t="shared" si="1"/>
        <v/>
      </c>
    </row>
    <row r="34" spans="1:16" ht="17.149999999999999" customHeight="1" x14ac:dyDescent="0.25">
      <c r="A34" s="5">
        <v>29</v>
      </c>
      <c r="B34" t="s">
        <v>68</v>
      </c>
      <c r="C34" s="9">
        <v>56.344086021505376</v>
      </c>
      <c r="D34" s="9"/>
      <c r="E34" s="9"/>
      <c r="F34" s="9"/>
      <c r="G34" s="9">
        <v>96</v>
      </c>
      <c r="H34" s="10">
        <f t="shared" si="2"/>
        <v>72</v>
      </c>
      <c r="I34" s="5">
        <v>63</v>
      </c>
      <c r="J34" s="8"/>
      <c r="K34" s="9"/>
      <c r="L34" s="9"/>
      <c r="M34" s="9"/>
      <c r="N34" s="9"/>
      <c r="O34" s="9"/>
      <c r="P34" s="10" t="str">
        <f t="shared" si="1"/>
        <v/>
      </c>
    </row>
    <row r="35" spans="1:16" ht="17.149999999999999" customHeight="1" x14ac:dyDescent="0.25">
      <c r="A35" s="5">
        <v>30</v>
      </c>
      <c r="B35" t="s">
        <v>69</v>
      </c>
      <c r="C35" s="9">
        <v>48.387096774193552</v>
      </c>
      <c r="D35" s="9"/>
      <c r="E35" s="9"/>
      <c r="F35" s="9"/>
      <c r="G35" s="9">
        <v>98</v>
      </c>
      <c r="H35" s="10">
        <f t="shared" si="2"/>
        <v>68</v>
      </c>
      <c r="I35" s="5">
        <v>64</v>
      </c>
      <c r="J35" s="8"/>
      <c r="K35" s="9"/>
      <c r="L35" s="9"/>
      <c r="M35" s="9"/>
      <c r="N35" s="9"/>
      <c r="O35" s="9"/>
      <c r="P35" s="10" t="str">
        <f t="shared" si="1"/>
        <v/>
      </c>
    </row>
    <row r="36" spans="1:16" ht="17.149999999999999" customHeight="1" x14ac:dyDescent="0.25">
      <c r="A36" s="5">
        <v>31</v>
      </c>
      <c r="B36" t="s">
        <v>70</v>
      </c>
      <c r="C36" s="9">
        <v>91.397849462365585</v>
      </c>
      <c r="D36" s="9"/>
      <c r="E36" s="9"/>
      <c r="F36" s="9"/>
      <c r="G36" s="9">
        <v>99</v>
      </c>
      <c r="H36" s="10">
        <f t="shared" si="2"/>
        <v>94</v>
      </c>
      <c r="I36" s="5">
        <v>65</v>
      </c>
      <c r="J36" s="8"/>
      <c r="K36" s="9"/>
      <c r="L36" s="9"/>
      <c r="M36" s="9"/>
      <c r="N36" s="9"/>
      <c r="O36" s="9"/>
      <c r="P36" s="10" t="str">
        <f t="shared" si="1"/>
        <v/>
      </c>
    </row>
    <row r="37" spans="1:16" ht="17.149999999999999" customHeight="1" x14ac:dyDescent="0.25">
      <c r="A37" s="5">
        <v>32</v>
      </c>
      <c r="B37" t="s">
        <v>71</v>
      </c>
      <c r="C37" s="9">
        <v>79.569892473118273</v>
      </c>
      <c r="D37" s="9"/>
      <c r="E37" s="9"/>
      <c r="F37" s="9"/>
      <c r="G37" s="9">
        <v>72</v>
      </c>
      <c r="H37" s="10">
        <f t="shared" si="2"/>
        <v>77</v>
      </c>
      <c r="I37" s="5">
        <v>66</v>
      </c>
      <c r="J37" s="8"/>
      <c r="K37" s="9"/>
      <c r="L37" s="9"/>
      <c r="M37" s="9"/>
      <c r="N37" s="9"/>
      <c r="O37" s="9"/>
      <c r="P37" s="10" t="str">
        <f t="shared" si="1"/>
        <v/>
      </c>
    </row>
    <row r="38" spans="1:16" ht="17.149999999999999" customHeight="1" x14ac:dyDescent="0.25">
      <c r="A38" s="5">
        <v>33</v>
      </c>
      <c r="B38" t="s">
        <v>72</v>
      </c>
      <c r="C38" s="9">
        <v>49.892473118279568</v>
      </c>
      <c r="D38" s="9"/>
      <c r="E38" s="9"/>
      <c r="F38" s="9"/>
      <c r="G38" s="9">
        <v>93</v>
      </c>
      <c r="H38" s="10">
        <f t="shared" si="2"/>
        <v>67</v>
      </c>
      <c r="I38" s="5">
        <v>67</v>
      </c>
      <c r="J38" s="8"/>
      <c r="K38" s="9"/>
      <c r="L38" s="9"/>
      <c r="M38" s="9"/>
      <c r="N38" s="9"/>
      <c r="O38" s="9"/>
      <c r="P38" s="10" t="str">
        <f t="shared" si="1"/>
        <v/>
      </c>
    </row>
    <row r="39" spans="1:16" ht="17.149999999999999" customHeight="1" x14ac:dyDescent="0.25">
      <c r="A39" s="5">
        <v>34</v>
      </c>
      <c r="B39" t="s">
        <v>73</v>
      </c>
      <c r="C39" s="9">
        <v>89.892473118279568</v>
      </c>
      <c r="D39" s="9"/>
      <c r="E39" s="9"/>
      <c r="F39" s="9"/>
      <c r="G39" s="9">
        <v>96</v>
      </c>
      <c r="H39" s="10">
        <f t="shared" si="2"/>
        <v>92</v>
      </c>
      <c r="I39" s="5">
        <v>68</v>
      </c>
      <c r="J39" s="8"/>
      <c r="K39" s="9"/>
      <c r="L39" s="9"/>
      <c r="M39" s="9"/>
      <c r="N39" s="9"/>
      <c r="O39" s="9"/>
      <c r="P39" s="10" t="str">
        <f t="shared" si="1"/>
        <v/>
      </c>
    </row>
    <row r="40" spans="1:16" ht="6" customHeight="1" x14ac:dyDescent="0.25"/>
    <row r="41" spans="1:16" ht="15" customHeight="1" x14ac:dyDescent="0.25">
      <c r="A41" s="47" t="s">
        <v>32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spans="1:16" ht="15" customHeight="1" x14ac:dyDescent="0.25">
      <c r="A42" s="11"/>
      <c r="B42" s="93" t="s">
        <v>33</v>
      </c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</row>
    <row r="43" spans="1:16" x14ac:dyDescent="0.25"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</row>
    <row r="45" spans="1:16" x14ac:dyDescent="0.25">
      <c r="M45" s="29"/>
    </row>
    <row r="46" spans="1:16" ht="25.5" customHeight="1" x14ac:dyDescent="0.25">
      <c r="A46" s="42" t="str">
        <f>A1</f>
        <v>2024学年第一学期《语文》课程成绩报告单及教学质量分析表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1:16" ht="26.25" customHeight="1" x14ac:dyDescent="0.25">
      <c r="A47" s="12"/>
      <c r="B47" s="13" t="s">
        <v>8</v>
      </c>
      <c r="C47" s="48" t="str">
        <f>C2</f>
        <v>abc班</v>
      </c>
      <c r="D47" s="48"/>
      <c r="E47" s="48"/>
      <c r="F47" s="48"/>
      <c r="G47" s="12"/>
      <c r="H47" s="12"/>
      <c r="I47" s="12"/>
      <c r="J47" s="12"/>
      <c r="K47" s="30" t="s">
        <v>2</v>
      </c>
      <c r="L47" s="45">
        <v>45474</v>
      </c>
      <c r="M47" s="45"/>
      <c r="N47" s="45"/>
      <c r="O47" s="25"/>
      <c r="P47" s="14"/>
    </row>
    <row r="48" spans="1:16" ht="27" customHeight="1" x14ac:dyDescent="0.25">
      <c r="A48" s="49" t="s">
        <v>34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1" t="s">
        <v>9</v>
      </c>
      <c r="N48" s="52"/>
      <c r="O48" s="52"/>
      <c r="P48" s="53"/>
    </row>
    <row r="49" spans="1:16" ht="25.5" customHeight="1" x14ac:dyDescent="0.25">
      <c r="A49" s="54" t="s">
        <v>10</v>
      </c>
      <c r="B49" s="55"/>
      <c r="C49" s="55" t="s">
        <v>11</v>
      </c>
      <c r="D49" s="55"/>
      <c r="E49" s="55" t="s">
        <v>12</v>
      </c>
      <c r="F49" s="55"/>
      <c r="G49" s="56" t="s">
        <v>13</v>
      </c>
      <c r="H49" s="57"/>
      <c r="I49" s="86" t="s">
        <v>14</v>
      </c>
      <c r="J49" s="44"/>
      <c r="K49" s="44"/>
      <c r="L49" s="44"/>
      <c r="M49" s="31" t="s">
        <v>15</v>
      </c>
      <c r="N49" s="58"/>
      <c r="O49" s="58"/>
      <c r="P49" s="59"/>
    </row>
    <row r="50" spans="1:16" ht="21.75" customHeight="1" x14ac:dyDescent="0.25">
      <c r="A50" s="60" t="s">
        <v>16</v>
      </c>
      <c r="B50" s="46"/>
      <c r="C50" s="46" t="s">
        <v>17</v>
      </c>
      <c r="D50" s="46"/>
      <c r="E50" s="46" t="s">
        <v>18</v>
      </c>
      <c r="F50" s="46"/>
      <c r="G50" s="46" t="s">
        <v>19</v>
      </c>
      <c r="H50" s="46"/>
      <c r="I50" s="56"/>
      <c r="J50" s="87"/>
      <c r="K50" s="87"/>
      <c r="L50" s="87"/>
      <c r="M50" s="61"/>
      <c r="N50" s="43"/>
      <c r="O50" s="43"/>
      <c r="P50" s="62"/>
    </row>
    <row r="51" spans="1:16" ht="22.5" customHeight="1" x14ac:dyDescent="0.25">
      <c r="A51" s="15" t="s">
        <v>20</v>
      </c>
      <c r="B51" s="10">
        <f>IF(AND(G6="",G7="",G8="",G9="",G10="",G11=""),"",(COUNTIF(G6:G39,"&gt;=85")+COUNTIF(O6:O39,"&gt;=85")))</f>
        <v>45</v>
      </c>
      <c r="C51" s="5" t="s">
        <v>20</v>
      </c>
      <c r="D51" s="10">
        <f>IF(AND(G6="",G7="",G8="",G9="",G10="",G11=""),"",(COUNTIF(G6:G39,"&gt;=75")+COUNTIF(O6:O39,"&gt;=75"))-B51)</f>
        <v>0</v>
      </c>
      <c r="E51" s="5" t="s">
        <v>20</v>
      </c>
      <c r="F51" s="10">
        <f>IF(AND(G6="",G7="",G8="",G9="",G10="",G11=""),"",(COUNTIF(G6:G39,"&gt;=60")+COUNTIF(O6:O39,"&gt;=60"))-B51-D51)</f>
        <v>2</v>
      </c>
      <c r="G51" s="5" t="s">
        <v>20</v>
      </c>
      <c r="H51" s="10">
        <f>IF(AND(G6="",G7="",G8="",G9="",G10="",G11=""),"",(COUNTIF(G6:G39,"&lt;60")+COUNTIF(O6:O39,"&lt;60")))</f>
        <v>0</v>
      </c>
      <c r="I51" s="76">
        <f>IF(H52="","",1-H52)</f>
        <v>1</v>
      </c>
      <c r="J51" s="76"/>
      <c r="K51" s="76"/>
      <c r="L51" s="77"/>
      <c r="M51" s="63"/>
      <c r="N51" s="64"/>
      <c r="O51" s="64"/>
      <c r="P51" s="65"/>
    </row>
    <row r="52" spans="1:16" ht="21.75" customHeight="1" x14ac:dyDescent="0.25">
      <c r="A52" s="16" t="s">
        <v>21</v>
      </c>
      <c r="B52" s="17">
        <f>IF(B51="","",B51/COUNT(G6:G39,O6:O39))</f>
        <v>0.95744680851063835</v>
      </c>
      <c r="C52" s="18" t="s">
        <v>21</v>
      </c>
      <c r="D52" s="17">
        <f>IF(D51="","",D51/COUNT(G6:G39,O6:O39))</f>
        <v>0</v>
      </c>
      <c r="E52" s="18" t="s">
        <v>21</v>
      </c>
      <c r="F52" s="17">
        <f>IF(F51="","",F51/COUNT(G6:G39,O6:O39))</f>
        <v>4.2553191489361701E-2</v>
      </c>
      <c r="G52" s="18" t="s">
        <v>21</v>
      </c>
      <c r="H52" s="17">
        <f>IF(H51="","",H51/COUNT(G6:G39,O6:O39))</f>
        <v>0</v>
      </c>
      <c r="I52" s="78"/>
      <c r="J52" s="78"/>
      <c r="K52" s="78"/>
      <c r="L52" s="79"/>
      <c r="M52" s="66" t="s">
        <v>22</v>
      </c>
      <c r="N52" s="67"/>
      <c r="O52" s="67"/>
      <c r="P52" s="68"/>
    </row>
    <row r="53" spans="1:16" ht="25.5" customHeight="1" x14ac:dyDescent="0.25">
      <c r="A53" s="49" t="s">
        <v>23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61"/>
      <c r="N53" s="43"/>
      <c r="O53" s="43"/>
      <c r="P53" s="62"/>
    </row>
    <row r="54" spans="1:16" ht="27" customHeight="1" x14ac:dyDescent="0.25">
      <c r="A54" s="69" t="s">
        <v>10</v>
      </c>
      <c r="B54" s="70"/>
      <c r="C54" s="70" t="s">
        <v>11</v>
      </c>
      <c r="D54" s="70"/>
      <c r="E54" s="70" t="s">
        <v>12</v>
      </c>
      <c r="F54" s="70"/>
      <c r="G54" s="70" t="s">
        <v>13</v>
      </c>
      <c r="H54" s="70"/>
      <c r="I54" s="88" t="s">
        <v>24</v>
      </c>
      <c r="J54" s="89"/>
      <c r="K54" s="89"/>
      <c r="L54" s="90"/>
      <c r="M54" s="61"/>
      <c r="N54" s="43"/>
      <c r="O54" s="43"/>
      <c r="P54" s="62"/>
    </row>
    <row r="55" spans="1:16" ht="23.25" customHeight="1" x14ac:dyDescent="0.25">
      <c r="A55" s="60" t="s">
        <v>16</v>
      </c>
      <c r="B55" s="46"/>
      <c r="C55" s="46" t="s">
        <v>17</v>
      </c>
      <c r="D55" s="46"/>
      <c r="E55" s="46" t="s">
        <v>18</v>
      </c>
      <c r="F55" s="46"/>
      <c r="G55" s="46" t="s">
        <v>19</v>
      </c>
      <c r="H55" s="46"/>
      <c r="I55" s="56"/>
      <c r="J55" s="87"/>
      <c r="K55" s="87"/>
      <c r="L55" s="91"/>
      <c r="M55" s="61"/>
      <c r="N55" s="43"/>
      <c r="O55" s="43"/>
      <c r="P55" s="62"/>
    </row>
    <row r="56" spans="1:16" ht="24" customHeight="1" x14ac:dyDescent="0.25">
      <c r="A56" s="15" t="s">
        <v>20</v>
      </c>
      <c r="B56" s="10">
        <f>COUNTIF(H6:H39,"&gt;=85")+COUNTIF(P6:P39,"&gt;=85")</f>
        <v>13</v>
      </c>
      <c r="C56" s="5" t="s">
        <v>20</v>
      </c>
      <c r="D56" s="10">
        <f>(COUNTIF(H6:H39,"&gt;=75")+COUNTIF(P6:P39,"&gt;=75"))-B56</f>
        <v>18</v>
      </c>
      <c r="E56" s="5" t="s">
        <v>20</v>
      </c>
      <c r="F56" s="10">
        <f>(COUNTIF(H6:H39,"&gt;=60")+COUNTIF(P6:P39,"&gt;=60"))-B56-D56</f>
        <v>16</v>
      </c>
      <c r="G56" s="5" t="s">
        <v>20</v>
      </c>
      <c r="H56" s="10">
        <f>(COUNTIF(H6:H39,"&lt;60")+COUNTIF(P6:P39,"&lt;60"))</f>
        <v>0</v>
      </c>
      <c r="I56" s="80">
        <f>IF(H57="","",1-H57)</f>
        <v>1</v>
      </c>
      <c r="J56" s="81"/>
      <c r="K56" s="81"/>
      <c r="L56" s="82"/>
      <c r="M56" s="61"/>
      <c r="N56" s="43"/>
      <c r="O56" s="43"/>
      <c r="P56" s="62"/>
    </row>
    <row r="57" spans="1:16" ht="24" customHeight="1" x14ac:dyDescent="0.25">
      <c r="A57" s="19" t="s">
        <v>21</v>
      </c>
      <c r="B57" s="20">
        <f>B56/COUNT(H6:H39,P6:P39)</f>
        <v>0.27659574468085107</v>
      </c>
      <c r="C57" s="21" t="s">
        <v>21</v>
      </c>
      <c r="D57" s="20">
        <f>D56/COUNT(H6:H39,P6:P39)</f>
        <v>0.38297872340425532</v>
      </c>
      <c r="E57" s="21" t="s">
        <v>21</v>
      </c>
      <c r="F57" s="20">
        <f>F56/COUNT(H6:H39,P6:P39)</f>
        <v>0.34042553191489361</v>
      </c>
      <c r="G57" s="21" t="s">
        <v>21</v>
      </c>
      <c r="H57" s="20">
        <f>H56/COUNT(H6:H39,P6:P39)</f>
        <v>0</v>
      </c>
      <c r="I57" s="83"/>
      <c r="J57" s="84"/>
      <c r="K57" s="84"/>
      <c r="L57" s="85"/>
      <c r="M57" s="71"/>
      <c r="N57" s="48"/>
      <c r="O57" s="48"/>
      <c r="P57" s="72"/>
    </row>
    <row r="58" spans="1:16" ht="22.5" customHeight="1" x14ac:dyDescent="0.25">
      <c r="A58" s="22"/>
      <c r="P58" s="32"/>
    </row>
    <row r="59" spans="1:16" ht="21" customHeight="1" x14ac:dyDescent="0.25">
      <c r="A59" s="73" t="s">
        <v>25</v>
      </c>
      <c r="B59" s="74"/>
      <c r="C59" s="74"/>
      <c r="D59" s="74"/>
      <c r="P59" s="32"/>
    </row>
    <row r="60" spans="1:16" ht="8.25" customHeight="1" x14ac:dyDescent="0.25">
      <c r="A60" s="23"/>
      <c r="B60" s="2"/>
      <c r="C60" s="2"/>
      <c r="D60" s="2"/>
      <c r="P60" s="32"/>
    </row>
    <row r="61" spans="1:16" ht="19.5" customHeight="1" x14ac:dyDescent="0.25">
      <c r="A61" s="22"/>
      <c r="B61" s="92" t="s">
        <v>37</v>
      </c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32"/>
    </row>
    <row r="62" spans="1:16" ht="20.149999999999999" customHeight="1" x14ac:dyDescent="0.25">
      <c r="A62" s="2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32"/>
    </row>
    <row r="63" spans="1:16" ht="20.149999999999999" customHeight="1" x14ac:dyDescent="0.25">
      <c r="A63" s="2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32"/>
    </row>
    <row r="64" spans="1:16" ht="20.149999999999999" customHeight="1" x14ac:dyDescent="0.25">
      <c r="A64" s="2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32"/>
    </row>
    <row r="65" spans="1:18" ht="20.149999999999999" customHeight="1" x14ac:dyDescent="0.25">
      <c r="A65" s="2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32"/>
    </row>
    <row r="66" spans="1:18" ht="20.149999999999999" customHeight="1" x14ac:dyDescent="0.25">
      <c r="A66" s="2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32"/>
    </row>
    <row r="67" spans="1:18" ht="20.149999999999999" customHeight="1" x14ac:dyDescent="0.25">
      <c r="A67" s="2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32"/>
    </row>
    <row r="68" spans="1:18" ht="20.149999999999999" customHeight="1" x14ac:dyDescent="0.25">
      <c r="A68" s="2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32"/>
    </row>
    <row r="69" spans="1:18" ht="20.149999999999999" customHeight="1" x14ac:dyDescent="0.25">
      <c r="A69" s="2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32"/>
    </row>
    <row r="70" spans="1:18" ht="20.149999999999999" customHeight="1" x14ac:dyDescent="0.25">
      <c r="A70" s="2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32"/>
    </row>
    <row r="71" spans="1:18" ht="20.149999999999999" customHeight="1" x14ac:dyDescent="0.25">
      <c r="A71" s="2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32"/>
      <c r="R71" s="24"/>
    </row>
    <row r="72" spans="1:18" ht="20.149999999999999" customHeight="1" x14ac:dyDescent="0.25">
      <c r="A72" s="2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32"/>
    </row>
    <row r="73" spans="1:18" ht="24" customHeight="1" x14ac:dyDescent="0.25">
      <c r="A73" s="2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32"/>
    </row>
    <row r="74" spans="1:18" ht="24" customHeight="1" x14ac:dyDescent="0.25">
      <c r="A74" s="2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2"/>
    </row>
    <row r="75" spans="1:18" ht="6.75" customHeight="1" x14ac:dyDescent="0.25">
      <c r="A75" s="22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2"/>
    </row>
    <row r="76" spans="1:18" ht="25.5" customHeight="1" x14ac:dyDescent="0.25">
      <c r="A76" s="22"/>
      <c r="B76" s="34" t="s">
        <v>26</v>
      </c>
      <c r="C76" s="34"/>
      <c r="D76" s="43" t="s">
        <v>88</v>
      </c>
      <c r="E76" s="43"/>
      <c r="F76" s="2"/>
      <c r="H76" s="26" t="s">
        <v>27</v>
      </c>
      <c r="J76" s="39" t="s">
        <v>28</v>
      </c>
      <c r="K76" s="39"/>
      <c r="L76" s="40" t="s">
        <v>29</v>
      </c>
      <c r="M76" s="1"/>
      <c r="N76" s="1"/>
      <c r="P76" s="32"/>
    </row>
    <row r="77" spans="1:18" ht="15" customHeight="1" x14ac:dyDescent="0.25">
      <c r="A77" s="22"/>
      <c r="B77" s="35"/>
      <c r="C77" s="35"/>
      <c r="D77" s="26"/>
      <c r="E77" s="26"/>
      <c r="J77" s="35"/>
      <c r="K77" s="35"/>
      <c r="L77" s="26"/>
      <c r="M77" s="26"/>
      <c r="P77" s="32"/>
    </row>
    <row r="78" spans="1:18" x14ac:dyDescent="0.25">
      <c r="A78" s="36"/>
      <c r="B78" s="37"/>
      <c r="C78" s="37"/>
      <c r="D78" s="37"/>
      <c r="E78" s="37"/>
      <c r="F78" s="37"/>
      <c r="G78" s="37"/>
      <c r="H78" s="38"/>
      <c r="I78" s="37"/>
      <c r="J78" s="37"/>
      <c r="K78" s="38"/>
      <c r="L78" s="38"/>
      <c r="M78" s="38"/>
      <c r="N78" s="38"/>
      <c r="O78" s="38"/>
      <c r="P78" s="41"/>
    </row>
  </sheetData>
  <sheetProtection formatCells="0"/>
  <mergeCells count="53">
    <mergeCell ref="M56:P56"/>
    <mergeCell ref="M57:P57"/>
    <mergeCell ref="A59:D59"/>
    <mergeCell ref="D76:E76"/>
    <mergeCell ref="A3:A5"/>
    <mergeCell ref="B3:B5"/>
    <mergeCell ref="H4:H5"/>
    <mergeCell ref="I3:I5"/>
    <mergeCell ref="J3:J5"/>
    <mergeCell ref="P4:P5"/>
    <mergeCell ref="I51:L52"/>
    <mergeCell ref="I56:L57"/>
    <mergeCell ref="I49:L50"/>
    <mergeCell ref="I54:L55"/>
    <mergeCell ref="B61:O73"/>
    <mergeCell ref="B42:P43"/>
    <mergeCell ref="A55:B55"/>
    <mergeCell ref="C55:D55"/>
    <mergeCell ref="E55:F55"/>
    <mergeCell ref="G55:H55"/>
    <mergeCell ref="M55:P55"/>
    <mergeCell ref="M51:P51"/>
    <mergeCell ref="M52:P52"/>
    <mergeCell ref="A53:L53"/>
    <mergeCell ref="M53:P53"/>
    <mergeCell ref="A54:B54"/>
    <mergeCell ref="C54:D54"/>
    <mergeCell ref="E54:F54"/>
    <mergeCell ref="G54:H54"/>
    <mergeCell ref="M54:P54"/>
    <mergeCell ref="A50:B50"/>
    <mergeCell ref="C50:D50"/>
    <mergeCell ref="E50:F50"/>
    <mergeCell ref="G50:H50"/>
    <mergeCell ref="M50:P50"/>
    <mergeCell ref="A48:L48"/>
    <mergeCell ref="M48:P48"/>
    <mergeCell ref="A49:B49"/>
    <mergeCell ref="C49:D49"/>
    <mergeCell ref="E49:F49"/>
    <mergeCell ref="G49:H49"/>
    <mergeCell ref="N49:P49"/>
    <mergeCell ref="C3:H3"/>
    <mergeCell ref="K3:P3"/>
    <mergeCell ref="A41:P41"/>
    <mergeCell ref="A46:P46"/>
    <mergeCell ref="C47:F47"/>
    <mergeCell ref="L47:N47"/>
    <mergeCell ref="A1:P1"/>
    <mergeCell ref="C2:F2"/>
    <mergeCell ref="G2:H2"/>
    <mergeCell ref="I2:J2"/>
    <mergeCell ref="M2:O2"/>
  </mergeCells>
  <phoneticPr fontId="4" type="noConversion"/>
  <conditionalFormatting sqref="G8:G39">
    <cfRule type="cellIs" dxfId="4" priority="5" stopIfTrue="1" operator="between">
      <formula>59.9</formula>
      <formula>45</formula>
    </cfRule>
  </conditionalFormatting>
  <conditionalFormatting sqref="H6:H39">
    <cfRule type="cellIs" dxfId="3" priority="6" stopIfTrue="1" operator="lessThan">
      <formula>45</formula>
    </cfRule>
    <cfRule type="cellIs" dxfId="2" priority="7" stopIfTrue="1" operator="between">
      <formula>59.9</formula>
      <formula>45</formula>
    </cfRule>
  </conditionalFormatting>
  <conditionalFormatting sqref="P6:P39">
    <cfRule type="cellIs" dxfId="1" priority="1" stopIfTrue="1" operator="lessThan">
      <formula>45</formula>
    </cfRule>
    <cfRule type="cellIs" dxfId="0" priority="2" stopIfTrue="1" operator="between">
      <formula>59.9</formula>
      <formula>45</formula>
    </cfRule>
  </conditionalFormatting>
  <pageMargins left="0.72" right="0.5" top="0.39" bottom="0.46" header="0.39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考查科目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老钟</dc:creator>
  <cp:lastModifiedBy>晓伟 傅</cp:lastModifiedBy>
  <cp:lastPrinted>2020-06-30T01:48:00Z</cp:lastPrinted>
  <dcterms:created xsi:type="dcterms:W3CDTF">2020-06-30T01:03:00Z</dcterms:created>
  <dcterms:modified xsi:type="dcterms:W3CDTF">2025-11-21T07:04:35Z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9635EB5E5EC6459AA3ABC8B540723CE6</vt:lpwstr>
  </property>
</Properties>
</file>